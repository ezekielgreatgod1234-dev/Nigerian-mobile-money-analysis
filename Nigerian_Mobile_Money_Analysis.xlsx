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mobile-money-analysis\"/>
    </mc:Choice>
  </mc:AlternateContent>
  <bookViews>
    <workbookView xWindow="0" yWindow="0" windowWidth="20490" windowHeight="7635" tabRatio="500"/>
  </bookViews>
  <sheets>
    <sheet name="Summary" sheetId="1" r:id="rId1"/>
    <sheet name="About This Project" sheetId="2" r:id="rId2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1" l="1"/>
  <c r="F9" i="1"/>
  <c r="E9" i="1"/>
  <c r="F8" i="1"/>
  <c r="E8" i="1"/>
  <c r="F7" i="1"/>
  <c r="E7" i="1"/>
  <c r="F6" i="1"/>
  <c r="E6" i="1"/>
  <c r="F5" i="1"/>
  <c r="F10" i="1" s="1"/>
  <c r="E5" i="1"/>
  <c r="E10" i="1" s="1"/>
  <c r="B12" i="1" s="1"/>
</calcChain>
</file>

<file path=xl/sharedStrings.xml><?xml version="1.0" encoding="utf-8"?>
<sst xmlns="http://schemas.openxmlformats.org/spreadsheetml/2006/main" count="31" uniqueCount="30">
  <si>
    <t>Nigerian Mobile Money Transaction Analysis</t>
  </si>
  <si>
    <t>Data source: PaySim synthetic mobile money simulator (sample of 500,000 transactions)</t>
  </si>
  <si>
    <t>Transaction Type</t>
  </si>
  <si>
    <t>Count</t>
  </si>
  <si>
    <t>Average Amount (NGN equiv.)</t>
  </si>
  <si>
    <t>Fraud Rate (%)</t>
  </si>
  <si>
    <t>Fraud Count</t>
  </si>
  <si>
    <t>% of Total Transactions</t>
  </si>
  <si>
    <t>CASH_IN</t>
  </si>
  <si>
    <t>CASH_OUT</t>
  </si>
  <si>
    <t>DEBIT</t>
  </si>
  <si>
    <t>PAYMENT</t>
  </si>
  <si>
    <t>TRANSFER</t>
  </si>
  <si>
    <t>TOTAL</t>
  </si>
  <si>
    <t>Overall Fraud Rate:</t>
  </si>
  <si>
    <t>Note: Count, Average Amount and Fraud Rate columns are inputs taken directly from the Python (pandas) analysis of the PaySim dataset sample (n=500,000). Fraud Count, % of Total, and Overall Fraud Rate are calculated with formulas below.</t>
  </si>
  <si>
    <t>Project: Analysis of mobile money transaction patterns and fraud indicators</t>
  </si>
  <si>
    <t>Dataset: PaySim - Synthetic Financial Datasets For Fraud Detection</t>
  </si>
  <si>
    <t>Source: Kaggle (by Edgar Lopez-Rojas), simulating mobile money transactions</t>
  </si>
  <si>
    <t>Note: This is a widely-used SYNTHETIC dataset that models mobile money behavior</t>
  </si>
  <si>
    <t>(similar to services like OPay, Moniepoint, Paga in Nigeria). It is not real</t>
  </si>
  <si>
    <t>transaction data, since real financial transaction logs are private and regulated.</t>
  </si>
  <si>
    <t>Tools used: Python (Pandas, Matplotlib) for analysis, Excel for summary reporting</t>
  </si>
  <si>
    <t>Key Findings:</t>
  </si>
  <si>
    <t>- TRANSFER transactions have the highest average value and the highest fraud rate</t>
  </si>
  <si>
    <t>- CASH_OUT is the second most fraud-prone transaction type</t>
  </si>
  <si>
    <t>- CASH_IN, DEBIT, and PAYMENT show near-zero fraud in this sample</t>
  </si>
  <si>
    <t>- Fraud is concentrated in transaction types that move money OUT of an account</t>
  </si>
  <si>
    <t>This workbook's Summary sheet uses live formulas (fraud counts, percentages,</t>
  </si>
  <si>
    <t>and overall fraud rate) so the numbers recalculate if the input data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</si>
</sst>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\%"/>
    <numFmt numFmtId="165" formatCode="0.0000%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4" fontId="4" fillId="0" borderId="1" xfId="0" applyNumberFormat="1" applyFont="1" applyBorder="1"/>
    <xf numFmtId="164" fontId="4" fillId="0" borderId="1" xfId="0" applyNumberFormat="1" applyFont="1" applyBorder="1"/>
    <xf numFmtId="0" fontId="5" fillId="0" borderId="1" xfId="0" applyFont="1" applyBorder="1"/>
    <xf numFmtId="10" fontId="5" fillId="0" borderId="1" xfId="0" applyNumberFormat="1" applyFont="1" applyBorder="1"/>
    <xf numFmtId="0" fontId="6" fillId="0" borderId="1" xfId="0" applyFont="1" applyBorder="1"/>
    <xf numFmtId="0" fontId="0" fillId="0" borderId="1" xfId="0" applyBorder="1"/>
    <xf numFmtId="10" fontId="6" fillId="0" borderId="1" xfId="0" applyNumberFormat="1" applyFont="1" applyBorder="1"/>
    <xf numFmtId="0" fontId="6" fillId="0" borderId="0" xfId="0" applyFont="1"/>
    <xf numFmtId="165" fontId="5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Transaction Count by Type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Summary!$A$5:$A$9</c:f>
              <c:strCache>
                <c:ptCount val="5"/>
                <c:pt idx="0">
                  <c:v>CASH_IN</c:v>
                </c:pt>
                <c:pt idx="1">
                  <c:v>CASH_OUT</c:v>
                </c:pt>
                <c:pt idx="2">
                  <c:v>DEBIT</c:v>
                </c:pt>
                <c:pt idx="3">
                  <c:v>PAYMENT</c:v>
                </c:pt>
                <c:pt idx="4">
                  <c:v>TRANSFER</c:v>
                </c:pt>
              </c:strCache>
            </c:strRef>
          </c:cat>
          <c:val>
            <c:numRef>
              <c:f>Summary!$B$5:$B$9</c:f>
              <c:numCache>
                <c:formatCode>General</c:formatCode>
                <c:ptCount val="5"/>
                <c:pt idx="0">
                  <c:v>109319</c:v>
                </c:pt>
                <c:pt idx="1">
                  <c:v>182316</c:v>
                </c:pt>
                <c:pt idx="2">
                  <c:v>3603</c:v>
                </c:pt>
                <c:pt idx="3">
                  <c:v>164032</c:v>
                </c:pt>
                <c:pt idx="4">
                  <c:v>40730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5235656"/>
        <c:axId val="255234480"/>
      </c:barChart>
      <c:catAx>
        <c:axId val="2552356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Transaction Type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5234480"/>
        <c:crosses val="autoZero"/>
        <c:auto val="1"/>
        <c:lblAlgn val="ctr"/>
        <c:lblOffset val="100"/>
        <c:noMultiLvlLbl val="0"/>
      </c:catAx>
      <c:valAx>
        <c:axId val="2552344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Transactions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52356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Fraud Rate by Transaction Type (%)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Summary!$D$4</c:f>
              <c:strCache>
                <c:ptCount val="1"/>
                <c:pt idx="0">
                  <c:v>Fraud Rate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Summary!$A$5:$A$9</c:f>
              <c:strCache>
                <c:ptCount val="5"/>
                <c:pt idx="0">
                  <c:v>CASH_IN</c:v>
                </c:pt>
                <c:pt idx="1">
                  <c:v>CASH_OUT</c:v>
                </c:pt>
                <c:pt idx="2">
                  <c:v>DEBIT</c:v>
                </c:pt>
                <c:pt idx="3">
                  <c:v>PAYMENT</c:v>
                </c:pt>
                <c:pt idx="4">
                  <c:v>TRANSFER</c:v>
                </c:pt>
              </c:strCache>
            </c:strRef>
          </c:cat>
          <c:val>
            <c:numRef>
              <c:f>Summary!$D$5:$D$9</c:f>
              <c:numCache>
                <c:formatCode>0.0000\%</c:formatCode>
                <c:ptCount val="5"/>
                <c:pt idx="0">
                  <c:v>0</c:v>
                </c:pt>
                <c:pt idx="1">
                  <c:v>6.6367999999999996E-2</c:v>
                </c:pt>
                <c:pt idx="2">
                  <c:v>0</c:v>
                </c:pt>
                <c:pt idx="3">
                  <c:v>0</c:v>
                </c:pt>
                <c:pt idx="4">
                  <c:v>0.274982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5238792"/>
        <c:axId val="255569696"/>
      </c:barChart>
      <c:catAx>
        <c:axId val="2552387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Transaction Type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5569696"/>
        <c:crosses val="autoZero"/>
        <c:auto val="1"/>
        <c:lblAlgn val="ctr"/>
        <c:lblOffset val="100"/>
        <c:noMultiLvlLbl val="0"/>
      </c:catAx>
      <c:valAx>
        <c:axId val="2555696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Fraud Rate (%)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52387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160920</xdr:rowOff>
    </xdr:from>
    <xdr:to>
      <xdr:col>15</xdr:col>
      <xdr:colOff>507600</xdr:colOff>
      <xdr:row>15</xdr:row>
      <xdr:rowOff>99000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10080</xdr:rowOff>
    </xdr:from>
    <xdr:to>
      <xdr:col>15</xdr:col>
      <xdr:colOff>507600</xdr:colOff>
      <xdr:row>34</xdr:row>
      <xdr:rowOff>32040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Normal="100" workbookViewId="0">
      <selection activeCell="D15" sqref="D15"/>
    </sheetView>
  </sheetViews>
  <sheetFormatPr defaultColWidth="8.7109375" defaultRowHeight="15" x14ac:dyDescent="0.25"/>
  <cols>
    <col min="1" max="1" width="20" customWidth="1"/>
    <col min="2" max="2" width="12" customWidth="1"/>
    <col min="3" max="3" width="26" customWidth="1"/>
    <col min="4" max="4" width="14" customWidth="1"/>
    <col min="5" max="5" width="12" customWidth="1"/>
    <col min="6" max="6" width="20" customWidth="1"/>
  </cols>
  <sheetData>
    <row r="1" spans="1:6" ht="18" x14ac:dyDescent="0.25">
      <c r="A1" s="2" t="s">
        <v>0</v>
      </c>
    </row>
    <row r="2" spans="1:6" x14ac:dyDescent="0.25">
      <c r="A2" s="3" t="s">
        <v>1</v>
      </c>
    </row>
    <row r="4" spans="1:6" ht="30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s="5" t="s">
        <v>8</v>
      </c>
      <c r="B5" s="5">
        <v>109319</v>
      </c>
      <c r="C5" s="6">
        <v>173826.33</v>
      </c>
      <c r="D5" s="7">
        <v>0</v>
      </c>
      <c r="E5" s="8">
        <f>ROUND(B5*D5/100,0)</f>
        <v>0</v>
      </c>
      <c r="F5" s="9">
        <f>B5/SUM($B$5:$B$9)</f>
        <v>0.218638</v>
      </c>
    </row>
    <row r="6" spans="1:6" x14ac:dyDescent="0.25">
      <c r="A6" s="5" t="s">
        <v>9</v>
      </c>
      <c r="B6" s="5">
        <v>182316</v>
      </c>
      <c r="C6" s="6">
        <v>187493.5</v>
      </c>
      <c r="D6" s="7">
        <v>6.6367999999999996E-2</v>
      </c>
      <c r="E6" s="8">
        <f>ROUND(B6*D6/100,0)</f>
        <v>121</v>
      </c>
      <c r="F6" s="9">
        <f>B6/SUM($B$5:$B$9)</f>
        <v>0.36463200000000001</v>
      </c>
    </row>
    <row r="7" spans="1:6" x14ac:dyDescent="0.25">
      <c r="A7" s="5" t="s">
        <v>10</v>
      </c>
      <c r="B7" s="5">
        <v>3603</v>
      </c>
      <c r="C7" s="6">
        <v>6506.61</v>
      </c>
      <c r="D7" s="7">
        <v>0</v>
      </c>
      <c r="E7" s="8">
        <f>ROUND(B7*D7/100,0)</f>
        <v>0</v>
      </c>
      <c r="F7" s="9">
        <f>B7/SUM($B$5:$B$9)</f>
        <v>7.2059999999999997E-3</v>
      </c>
    </row>
    <row r="8" spans="1:6" x14ac:dyDescent="0.25">
      <c r="A8" s="5" t="s">
        <v>11</v>
      </c>
      <c r="B8" s="5">
        <v>164032</v>
      </c>
      <c r="C8" s="6">
        <v>11624.87</v>
      </c>
      <c r="D8" s="7">
        <v>0</v>
      </c>
      <c r="E8" s="8">
        <f>ROUND(B8*D8/100,0)</f>
        <v>0</v>
      </c>
      <c r="F8" s="9">
        <f>B8/SUM($B$5:$B$9)</f>
        <v>0.32806400000000002</v>
      </c>
    </row>
    <row r="9" spans="1:6" x14ac:dyDescent="0.25">
      <c r="A9" s="5" t="s">
        <v>12</v>
      </c>
      <c r="B9" s="5">
        <v>40730</v>
      </c>
      <c r="C9" s="6">
        <v>689441.8</v>
      </c>
      <c r="D9" s="7">
        <v>0.274982</v>
      </c>
      <c r="E9" s="8">
        <f>ROUND(B9*D9/100,0)</f>
        <v>112</v>
      </c>
      <c r="F9" s="9">
        <f>B9/SUM($B$5:$B$9)</f>
        <v>8.1460000000000005E-2</v>
      </c>
    </row>
    <row r="10" spans="1:6" x14ac:dyDescent="0.25">
      <c r="A10" s="10" t="s">
        <v>13</v>
      </c>
      <c r="B10" s="10">
        <f>SUM(B5:B9)</f>
        <v>500000</v>
      </c>
      <c r="C10" s="11"/>
      <c r="D10" s="11"/>
      <c r="E10" s="10">
        <f>SUM(E5:E9)</f>
        <v>233</v>
      </c>
      <c r="F10" s="12">
        <f>SUM(F5:F9)</f>
        <v>1</v>
      </c>
    </row>
    <row r="12" spans="1:6" x14ac:dyDescent="0.25">
      <c r="A12" s="13" t="s">
        <v>14</v>
      </c>
      <c r="B12" s="14">
        <f>E10/B10</f>
        <v>4.66E-4</v>
      </c>
    </row>
    <row r="14" spans="1:6" ht="39.75" customHeight="1" x14ac:dyDescent="0.25">
      <c r="A14" s="1" t="s">
        <v>15</v>
      </c>
      <c r="B14" s="1"/>
      <c r="C14" s="1"/>
      <c r="D14" s="1"/>
      <c r="E14" s="1"/>
      <c r="F14" s="1"/>
    </row>
  </sheetData>
  <mergeCells count="1">
    <mergeCell ref="A14:F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zoomScaleNormal="100" workbookViewId="0"/>
  </sheetViews>
  <sheetFormatPr defaultColWidth="8.7109375" defaultRowHeight="15" x14ac:dyDescent="0.25"/>
  <cols>
    <col min="1" max="1" width="90" customWidth="1"/>
  </cols>
  <sheetData>
    <row r="1" spans="1:1" ht="18" x14ac:dyDescent="0.25">
      <c r="A1" s="2" t="s">
        <v>0</v>
      </c>
    </row>
    <row r="2" spans="1:1" x14ac:dyDescent="0.25">
      <c r="A2" s="15"/>
    </row>
    <row r="3" spans="1:1" x14ac:dyDescent="0.25">
      <c r="A3" s="15" t="s">
        <v>16</v>
      </c>
    </row>
    <row r="4" spans="1:1" x14ac:dyDescent="0.25">
      <c r="A4" s="15"/>
    </row>
    <row r="5" spans="1:1" x14ac:dyDescent="0.25">
      <c r="A5" s="15" t="s">
        <v>17</v>
      </c>
    </row>
    <row r="6" spans="1:1" x14ac:dyDescent="0.25">
      <c r="A6" s="15" t="s">
        <v>18</v>
      </c>
    </row>
    <row r="7" spans="1:1" x14ac:dyDescent="0.25">
      <c r="A7" s="15" t="s">
        <v>19</v>
      </c>
    </row>
    <row r="8" spans="1:1" x14ac:dyDescent="0.25">
      <c r="A8" s="15" t="s">
        <v>20</v>
      </c>
    </row>
    <row r="9" spans="1:1" x14ac:dyDescent="0.25">
      <c r="A9" s="15" t="s">
        <v>21</v>
      </c>
    </row>
    <row r="10" spans="1:1" x14ac:dyDescent="0.25">
      <c r="A10" s="15"/>
    </row>
    <row r="11" spans="1:1" x14ac:dyDescent="0.25">
      <c r="A11" s="15" t="s">
        <v>22</v>
      </c>
    </row>
    <row r="12" spans="1:1" x14ac:dyDescent="0.25">
      <c r="A12" s="15"/>
    </row>
    <row r="13" spans="1:1" x14ac:dyDescent="0.25">
      <c r="A13" s="15" t="s">
        <v>23</v>
      </c>
    </row>
    <row r="14" spans="1:1" x14ac:dyDescent="0.25">
      <c r="A14" s="15" t="s">
        <v>24</v>
      </c>
    </row>
    <row r="15" spans="1:1" x14ac:dyDescent="0.25">
      <c r="A15" s="15" t="s">
        <v>25</v>
      </c>
    </row>
    <row r="16" spans="1:1" x14ac:dyDescent="0.25">
      <c r="A16" s="15" t="s">
        <v>26</v>
      </c>
    </row>
    <row r="17" spans="1:1" x14ac:dyDescent="0.25">
      <c r="A17" s="15" t="s">
        <v>27</v>
      </c>
    </row>
    <row r="18" spans="1:1" x14ac:dyDescent="0.25">
      <c r="A18" s="15"/>
    </row>
    <row r="19" spans="1:1" x14ac:dyDescent="0.25">
      <c r="A19" s="15" t="s">
        <v>28</v>
      </c>
    </row>
    <row r="20" spans="1:1" x14ac:dyDescent="0.25">
      <c r="A20" s="15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About This Project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1</cp:revision>
  <dcterms:created xsi:type="dcterms:W3CDTF">2026-09-23T08:56:52Z</dcterms:created>
  <dcterms:modified xsi:type="dcterms:W3CDTF">2026-09-23T17:04:18Z</dcterms:modified>
  <dc:language>en-US</dc:language>
</cp:coreProperties>
</file>